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quisitos funcionales" sheetId="2" state="visible" r:id="rId2"/>
    <sheet xmlns:r="http://schemas.openxmlformats.org/officeDocument/2006/relationships" name="Requisitos de seguridad" sheetId="3" state="visible" r:id="rId3"/>
    <sheet xmlns:r="http://schemas.openxmlformats.org/officeDocument/2006/relationships" name="Entregables" sheetId="4" state="visible" r:id="rId4"/>
  </sheets>
  <definedNames>
    <definedName name="_xlnm._FilterDatabase" localSheetId="1" hidden="1">'Requisitos funcionales'!$A$1:$F$31</definedName>
    <definedName name="_xlnm._FilterDatabase" localSheetId="2" hidden="1">'Requisitos de seguridad'!$A$1:$F$35</definedName>
    <definedName name="_xlnm._FilterDatabase" localSheetId="3" hidden="1">'Entregables'!$A$1:$F$10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6"/>
    </font>
    <font>
      <name val="Arial"/>
      <color rgb="00595959"/>
      <sz val="11"/>
    </font>
    <font>
      <name val="Arial"/>
      <b val="1"/>
      <color rgb="001F3864"/>
      <sz val="12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ill>
        <patternFill patternType="solid">
          <bgColor rgb="00F8CBAD"/>
        </patternFill>
      </fill>
    </dxf>
    <dxf>
      <fill>
        <patternFill patternType="solid">
          <bgColor rgb="00FFE699"/>
        </patternFill>
      </fill>
    </dxf>
    <dxf>
      <fill>
        <patternFill patternType="solid"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40" customWidth="1" min="6" max="6"/>
  </cols>
  <sheetData>
    <row r="1">
      <c r="A1" s="1" t="inlineStr">
        <is>
          <t>Requisitos del proyecto integrador: salas de chat seguras</t>
        </is>
      </c>
    </row>
    <row r="2">
      <c r="A2" s="2" t="inlineStr">
        <is>
          <t>Informe de requisitos funcionales, de seguridad y entregables</t>
        </is>
      </c>
    </row>
    <row r="4">
      <c r="A4" s="3" t="inlineStr">
        <is>
          <t>Asignatura</t>
        </is>
      </c>
      <c r="B4" s="4" t="inlineStr">
        <is>
          <t>Software Seguro</t>
        </is>
      </c>
      <c r="C4" s="5" t="n"/>
      <c r="D4" s="5" t="n"/>
      <c r="E4" s="5" t="n"/>
      <c r="F4" s="5" t="n"/>
    </row>
    <row r="5">
      <c r="A5" s="3" t="inlineStr">
        <is>
          <t>Docente</t>
        </is>
      </c>
      <c r="B5" s="4" t="inlineStr">
        <is>
          <t>Ing. Ángel Cudco</t>
        </is>
      </c>
      <c r="C5" s="5" t="n"/>
      <c r="D5" s="5" t="n"/>
      <c r="E5" s="5" t="n"/>
      <c r="F5" s="5" t="n"/>
    </row>
    <row r="6" ht="30" customHeight="1">
      <c r="A6" s="3" t="inlineStr">
        <is>
          <t>Equipo</t>
        </is>
      </c>
      <c r="B6" s="4" t="inlineStr">
        <is>
          <t>Zaith Alejandro Manangón Vinueza, Stefany Maricela Díaz Antun, Andrés Isaias Cedeño Cuenca</t>
        </is>
      </c>
      <c r="C6" s="5" t="n"/>
      <c r="D6" s="5" t="n"/>
      <c r="E6" s="5" t="n"/>
      <c r="F6" s="5" t="n"/>
    </row>
    <row r="7">
      <c r="A7" s="3" t="inlineStr">
        <is>
          <t>Fecha</t>
        </is>
      </c>
      <c r="B7" s="4" t="inlineStr">
        <is>
          <t>13/10/2026</t>
        </is>
      </c>
      <c r="C7" s="5" t="n"/>
      <c r="D7" s="5" t="n"/>
      <c r="E7" s="5" t="n"/>
      <c r="F7" s="5" t="n"/>
    </row>
    <row r="9">
      <c r="A9" s="6" t="inlineStr">
        <is>
          <t>1. Objetivo</t>
        </is>
      </c>
    </row>
    <row r="10" ht="48" customHeight="1">
      <c r="A10" s="7" t="inlineStr">
        <is>
          <t>Este informe reúne lo que debe cumplir la aplicación de salas de chat seguras: qué debe hacer (requisitos funcionales), qué debe proteger y cómo (requisitos de seguridad) y qué documentación y pruebas debe entregar el equipo. Cada requisito tiene un código, una descripción y un criterio de aceptación que permite comprobarlo.</t>
        </is>
      </c>
    </row>
    <row r="12">
      <c r="A12" s="6" t="inlineStr">
        <is>
          <t>2. Requisitos por tipo y prioridad</t>
        </is>
      </c>
    </row>
    <row r="13">
      <c r="A13" s="8" t="inlineStr">
        <is>
          <t>Tipo</t>
        </is>
      </c>
      <c r="B13" s="8" t="inlineStr">
        <is>
          <t>Total</t>
        </is>
      </c>
      <c r="C13" s="8" t="inlineStr">
        <is>
          <t>Alta</t>
        </is>
      </c>
      <c r="D13" s="8" t="inlineStr">
        <is>
          <t>Media</t>
        </is>
      </c>
      <c r="E13" s="8" t="inlineStr">
        <is>
          <t>Baja</t>
        </is>
      </c>
    </row>
    <row r="14">
      <c r="A14" s="9" t="inlineStr">
        <is>
          <t>Funcionales</t>
        </is>
      </c>
      <c r="B14" s="10">
        <f>COUNTA('Requisitos funcionales'!A2:A200)</f>
        <v/>
      </c>
      <c r="C14" s="10">
        <f>COUNTIF('Requisitos funcionales'!F2:F200,"Alta")</f>
        <v/>
      </c>
      <c r="D14" s="10">
        <f>COUNTIF('Requisitos funcionales'!F2:F200,"Media")</f>
        <v/>
      </c>
      <c r="E14" s="10">
        <f>COUNTIF('Requisitos funcionales'!F2:F200,"Baja")</f>
        <v/>
      </c>
    </row>
    <row r="15">
      <c r="A15" s="9" t="inlineStr">
        <is>
          <t>De seguridad</t>
        </is>
      </c>
      <c r="B15" s="10">
        <f>COUNTA('Requisitos de seguridad'!A2:A200)</f>
        <v/>
      </c>
      <c r="C15" s="10">
        <f>COUNTIF('Requisitos de seguridad'!F2:F200,"Alta")</f>
        <v/>
      </c>
      <c r="D15" s="10">
        <f>COUNTIF('Requisitos de seguridad'!F2:F200,"Media")</f>
        <v/>
      </c>
      <c r="E15" s="10">
        <f>COUNTIF('Requisitos de seguridad'!F2:F200,"Baja")</f>
        <v/>
      </c>
    </row>
    <row r="16">
      <c r="A16" s="9" t="inlineStr">
        <is>
          <t>Entregables</t>
        </is>
      </c>
      <c r="B16" s="10">
        <f>COUNTA('Entregables'!A2:A200)</f>
        <v/>
      </c>
      <c r="C16" s="10">
        <f>COUNTIF('Entregables'!F2:F200,"Alta")</f>
        <v/>
      </c>
      <c r="D16" s="10">
        <f>COUNTIF('Entregables'!F2:F200,"Media")</f>
        <v/>
      </c>
      <c r="E16" s="10">
        <f>COUNTIF('Entregables'!F2:F200,"Baja")</f>
        <v/>
      </c>
    </row>
    <row r="17">
      <c r="A17" s="11" t="inlineStr">
        <is>
          <t>Total</t>
        </is>
      </c>
      <c r="B17" s="12">
        <f>SUM(B14:B16)</f>
        <v/>
      </c>
      <c r="C17" s="12">
        <f>SUM(C14:C16)</f>
        <v/>
      </c>
      <c r="D17" s="12">
        <f>SUM(D14:D16)</f>
        <v/>
      </c>
      <c r="E17" s="12">
        <f>SUM(E14:E16)</f>
        <v/>
      </c>
    </row>
    <row r="19">
      <c r="A19" s="6" t="inlineStr">
        <is>
          <t>3. Requisitos por categoría</t>
        </is>
      </c>
    </row>
    <row r="20">
      <c r="A20" s="8" t="inlineStr">
        <is>
          <t>Categoría</t>
        </is>
      </c>
      <c r="B20" s="8" t="inlineStr">
        <is>
          <t>Requisitos</t>
        </is>
      </c>
      <c r="C20" s="8" t="inlineStr">
        <is>
          <t>Pestaña</t>
        </is>
      </c>
      <c r="D20" s="5" t="n"/>
    </row>
    <row r="21">
      <c r="A21" s="13" t="inlineStr">
        <is>
          <t>Cuenta del administrador</t>
        </is>
      </c>
      <c r="B21" s="10">
        <f>COUNTIF('Requisitos funcionales'!B2:B200,A21)</f>
        <v/>
      </c>
      <c r="C21" s="13" t="inlineStr">
        <is>
          <t>Requisitos funcionales</t>
        </is>
      </c>
      <c r="D21" s="5" t="n"/>
    </row>
    <row r="22">
      <c r="A22" s="13" t="inlineStr">
        <is>
          <t>Gestión de salas</t>
        </is>
      </c>
      <c r="B22" s="10">
        <f>COUNTIF('Requisitos funcionales'!B2:B200,A22)</f>
        <v/>
      </c>
      <c r="C22" s="13" t="inlineStr">
        <is>
          <t>Requisitos funcionales</t>
        </is>
      </c>
      <c r="D22" s="5" t="n"/>
    </row>
    <row r="23">
      <c r="A23" s="13" t="inlineStr">
        <is>
          <t>Supervisión</t>
        </is>
      </c>
      <c r="B23" s="10">
        <f>COUNTIF('Requisitos funcionales'!B2:B200,A23)</f>
        <v/>
      </c>
      <c r="C23" s="13" t="inlineStr">
        <is>
          <t>Requisitos funcionales</t>
        </is>
      </c>
      <c r="D23" s="5" t="n"/>
    </row>
    <row r="24">
      <c r="A24" s="13" t="inlineStr">
        <is>
          <t>Acceso de participantes</t>
        </is>
      </c>
      <c r="B24" s="10">
        <f>COUNTIF('Requisitos funcionales'!B2:B200,A24)</f>
        <v/>
      </c>
      <c r="C24" s="13" t="inlineStr">
        <is>
          <t>Requisitos funcionales</t>
        </is>
      </c>
      <c r="D24" s="5" t="n"/>
    </row>
    <row r="25">
      <c r="A25" s="13" t="inlineStr">
        <is>
          <t>Sesiones</t>
        </is>
      </c>
      <c r="B25" s="10">
        <f>COUNTIF('Requisitos funcionales'!B2:B200,A25)</f>
        <v/>
      </c>
      <c r="C25" s="13" t="inlineStr">
        <is>
          <t>Requisitos funcionales</t>
        </is>
      </c>
      <c r="D25" s="5" t="n"/>
    </row>
    <row r="26">
      <c r="A26" s="13" t="inlineStr">
        <is>
          <t>Mensajería</t>
        </is>
      </c>
      <c r="B26" s="10">
        <f>COUNTIF('Requisitos funcionales'!B2:B200,A26)</f>
        <v/>
      </c>
      <c r="C26" s="13" t="inlineStr">
        <is>
          <t>Requisitos funcionales</t>
        </is>
      </c>
      <c r="D26" s="5" t="n"/>
    </row>
    <row r="27">
      <c r="A27" s="13" t="inlineStr">
        <is>
          <t>Archivos multimedia</t>
        </is>
      </c>
      <c r="B27" s="10">
        <f>COUNTIF('Requisitos funcionales'!B2:B200,A27)</f>
        <v/>
      </c>
      <c r="C27" s="13" t="inlineStr">
        <is>
          <t>Requisitos funcionales</t>
        </is>
      </c>
      <c r="D27" s="5" t="n"/>
    </row>
    <row r="28">
      <c r="A28" s="13" t="inlineStr">
        <is>
          <t>Auditoría</t>
        </is>
      </c>
      <c r="B28" s="10">
        <f>COUNTIF('Requisitos funcionales'!B2:B200,A28)</f>
        <v/>
      </c>
      <c r="C28" s="13" t="inlineStr">
        <is>
          <t>Requisitos funcionales</t>
        </is>
      </c>
      <c r="D28" s="5" t="n"/>
    </row>
    <row r="29">
      <c r="A29" s="13" t="inlineStr">
        <is>
          <t>Autenticación y sesiones</t>
        </is>
      </c>
      <c r="B29" s="10">
        <f>COUNTIF('Requisitos de seguridad'!B2:B200,A29)</f>
        <v/>
      </c>
      <c r="C29" s="13" t="inlineStr">
        <is>
          <t>Requisitos de seguridad</t>
        </is>
      </c>
      <c r="D29" s="5" t="n"/>
    </row>
    <row r="30">
      <c r="A30" s="13" t="inlineStr">
        <is>
          <t>Criptografía y claves</t>
        </is>
      </c>
      <c r="B30" s="10">
        <f>COUNTIF('Requisitos de seguridad'!B2:B200,A30)</f>
        <v/>
      </c>
      <c r="C30" s="13" t="inlineStr">
        <is>
          <t>Requisitos de seguridad</t>
        </is>
      </c>
      <c r="D30" s="5" t="n"/>
    </row>
    <row r="31">
      <c r="A31" s="13" t="inlineStr">
        <is>
          <t>Contenido multimedia</t>
        </is>
      </c>
      <c r="B31" s="10">
        <f>COUNTIF('Requisitos de seguridad'!B2:B200,A31)</f>
        <v/>
      </c>
      <c r="C31" s="13" t="inlineStr">
        <is>
          <t>Requisitos de seguridad</t>
        </is>
      </c>
      <c r="D31" s="5" t="n"/>
    </row>
    <row r="32">
      <c r="A32" s="13" t="inlineStr">
        <is>
          <t>Auditoría</t>
        </is>
      </c>
      <c r="B32" s="10">
        <f>COUNTIF('Requisitos de seguridad'!B2:B200,A32)</f>
        <v/>
      </c>
      <c r="C32" s="13" t="inlineStr">
        <is>
          <t>Requisitos de seguridad</t>
        </is>
      </c>
      <c r="D32" s="5" t="n"/>
    </row>
    <row r="33">
      <c r="A33" s="13" t="inlineStr">
        <is>
          <t>Zero Trust y mínimo privilegio</t>
        </is>
      </c>
      <c r="B33" s="10">
        <f>COUNTIF('Requisitos de seguridad'!B2:B200,A33)</f>
        <v/>
      </c>
      <c r="C33" s="13" t="inlineStr">
        <is>
          <t>Requisitos de seguridad</t>
        </is>
      </c>
      <c r="D33" s="5" t="n"/>
    </row>
    <row r="34">
      <c r="A34" s="13" t="inlineStr">
        <is>
          <t>Normas y enfoques</t>
        </is>
      </c>
      <c r="B34" s="10">
        <f>COUNTIF('Requisitos de seguridad'!B2:B200,A34)</f>
        <v/>
      </c>
      <c r="C34" s="13" t="inlineStr">
        <is>
          <t>Requisitos de seguridad</t>
        </is>
      </c>
      <c r="D34" s="5" t="n"/>
    </row>
    <row r="35">
      <c r="A35" s="13" t="inlineStr">
        <is>
          <t>Análisis</t>
        </is>
      </c>
      <c r="B35" s="10">
        <f>COUNTIF('Entregables'!B2:B200,A35)</f>
        <v/>
      </c>
      <c r="C35" s="13" t="inlineStr">
        <is>
          <t>Entregables</t>
        </is>
      </c>
      <c r="D35" s="5" t="n"/>
    </row>
    <row r="36">
      <c r="A36" s="13" t="inlineStr">
        <is>
          <t>Diseño</t>
        </is>
      </c>
      <c r="B36" s="10">
        <f>COUNTIF('Entregables'!B2:B200,A36)</f>
        <v/>
      </c>
      <c r="C36" s="13" t="inlineStr">
        <is>
          <t>Entregables</t>
        </is>
      </c>
      <c r="D36" s="5" t="n"/>
    </row>
    <row r="37">
      <c r="A37" s="13" t="inlineStr">
        <is>
          <t>Implementación</t>
        </is>
      </c>
      <c r="B37" s="10">
        <f>COUNTIF('Entregables'!B2:B200,A37)</f>
        <v/>
      </c>
      <c r="C37" s="13" t="inlineStr">
        <is>
          <t>Entregables</t>
        </is>
      </c>
      <c r="D37" s="5" t="n"/>
    </row>
    <row r="38">
      <c r="A38" s="13" t="inlineStr">
        <is>
          <t>Pruebas</t>
        </is>
      </c>
      <c r="B38" s="10">
        <f>COUNTIF('Entregables'!B2:B200,A38)</f>
        <v/>
      </c>
      <c r="C38" s="13" t="inlineStr">
        <is>
          <t>Entregables</t>
        </is>
      </c>
      <c r="D38" s="5" t="n"/>
    </row>
    <row r="39">
      <c r="A39" s="13" t="inlineStr">
        <is>
          <t>Documentación</t>
        </is>
      </c>
      <c r="B39" s="10">
        <f>COUNTIF('Entregables'!B2:B200,A39)</f>
        <v/>
      </c>
      <c r="C39" s="13" t="inlineStr">
        <is>
          <t>Entregables</t>
        </is>
      </c>
      <c r="D39" s="5" t="n"/>
    </row>
    <row r="41">
      <c r="A41" s="6" t="inlineStr">
        <is>
          <t>4. Decisiones de interpretación</t>
        </is>
      </c>
    </row>
    <row r="42" ht="36" customHeight="1">
      <c r="A42" s="13" t="inlineStr">
        <is>
          <t>Usuario: el enunciado no pide cuentas de usuario final. Un participante se identifica por su alias y su dispositivo dentro de la sala.</t>
        </is>
      </c>
      <c r="B42" s="5" t="n"/>
      <c r="C42" s="5" t="n"/>
      <c r="D42" s="5" t="n"/>
      <c r="E42" s="5" t="n"/>
      <c r="F42" s="5" t="n"/>
    </row>
    <row r="43" ht="36" customHeight="1">
      <c r="A43" s="13" t="inlineStr">
        <is>
          <t>Único dispositivo: una sesión activa por alias, ligada a la cookie de dispositivo. Un nuevo ingreso con el mismo alias se rechaza.</t>
        </is>
      </c>
      <c r="B43" s="5" t="n"/>
      <c r="C43" s="5" t="n"/>
      <c r="D43" s="5" t="n"/>
      <c r="E43" s="5" t="n"/>
      <c r="F43" s="5" t="n"/>
    </row>
    <row r="44" ht="22" customHeight="1">
      <c r="A44" s="13" t="inlineStr">
        <is>
          <t>Multimedia: por ahora imágenes PNG y JPEG. Otros formatos se agregan sin cambiar el proceso de análisis.</t>
        </is>
      </c>
      <c r="B44" s="5" t="n"/>
      <c r="C44" s="5" t="n"/>
      <c r="D44" s="5" t="n"/>
      <c r="E44" s="5" t="n"/>
      <c r="F44" s="5" t="n"/>
    </row>
    <row r="45" ht="22" customHeight="1">
      <c r="A45" s="13" t="inlineStr">
        <is>
          <t>Cierre de sala: expulsa a los participantes y no admite nuevos ingresos. El identificador de una sala cerrada no se reutiliza.</t>
        </is>
      </c>
      <c r="B45" s="5" t="n"/>
      <c r="C45" s="5" t="n"/>
      <c r="D45" s="5" t="n"/>
      <c r="E45" s="5" t="n"/>
      <c r="F45" s="5" t="n"/>
    </row>
    <row r="46" ht="22" customHeight="1">
      <c r="A46" s="13" t="inlineStr">
        <is>
          <t>Alertas: los eventos de advertencia o críticos se registran en la auditoría y se muestran en el panel del administrador.</t>
        </is>
      </c>
      <c r="B46" s="5" t="n"/>
      <c r="C46" s="5" t="n"/>
      <c r="D46" s="5" t="n"/>
      <c r="E46" s="5" t="n"/>
      <c r="F46" s="5" t="n"/>
    </row>
    <row r="48">
      <c r="A48" s="6" t="inlineStr">
        <is>
          <t>5. Cómo leer la prioridad</t>
        </is>
      </c>
    </row>
    <row r="49" ht="20" customHeight="1">
      <c r="A49" s="14" t="inlineStr">
        <is>
          <t>Alta</t>
        </is>
      </c>
      <c r="B49" s="13" t="inlineStr">
        <is>
          <t>Sin este requisito el sistema no cumple el enunciado o queda un riesgo sin tratar.</t>
        </is>
      </c>
      <c r="C49" s="5" t="n"/>
      <c r="D49" s="5" t="n"/>
      <c r="E49" s="5" t="n"/>
      <c r="F49" s="5" t="n"/>
    </row>
    <row r="50" ht="20" customHeight="1">
      <c r="A50" s="14" t="inlineStr">
        <is>
          <t>Media</t>
        </is>
      </c>
      <c r="B50" s="13" t="inlineStr">
        <is>
          <t>Necesario para una operación completa y segura, pero no bloquea el resto.</t>
        </is>
      </c>
      <c r="C50" s="5" t="n"/>
      <c r="D50" s="5" t="n"/>
      <c r="E50" s="5" t="n"/>
      <c r="F50" s="5" t="n"/>
    </row>
    <row r="51" ht="20" customHeight="1">
      <c r="A51" s="14" t="inlineStr">
        <is>
          <t>Baja</t>
        </is>
      </c>
      <c r="B51" s="13" t="inlineStr">
        <is>
          <t>Mejora la experiencia o la capacidad de ampliar el sistema.</t>
        </is>
      </c>
      <c r="C51" s="5" t="n"/>
      <c r="D51" s="5" t="n"/>
      <c r="E51" s="5" t="n"/>
      <c r="F51" s="5" t="n"/>
    </row>
  </sheetData>
  <mergeCells count="33">
    <mergeCell ref="B4:F4"/>
    <mergeCell ref="C34:D34"/>
    <mergeCell ref="B7:F7"/>
    <mergeCell ref="C24:D24"/>
    <mergeCell ref="C30:D30"/>
    <mergeCell ref="A46:F46"/>
    <mergeCell ref="C33:D33"/>
    <mergeCell ref="C26:D26"/>
    <mergeCell ref="C35:D35"/>
    <mergeCell ref="C20:D20"/>
    <mergeCell ref="C29:D29"/>
    <mergeCell ref="A42:F42"/>
    <mergeCell ref="C25:D25"/>
    <mergeCell ref="C22:D22"/>
    <mergeCell ref="C31:D31"/>
    <mergeCell ref="A43:F43"/>
    <mergeCell ref="A10:F10"/>
    <mergeCell ref="C21:D21"/>
    <mergeCell ref="A44:F44"/>
    <mergeCell ref="C27:D27"/>
    <mergeCell ref="C36:D36"/>
    <mergeCell ref="C23:D23"/>
    <mergeCell ref="C39:D39"/>
    <mergeCell ref="B49:F49"/>
    <mergeCell ref="C32:D32"/>
    <mergeCell ref="B6:F6"/>
    <mergeCell ref="C38:D38"/>
    <mergeCell ref="A45:F45"/>
    <mergeCell ref="B5:F5"/>
    <mergeCell ref="C37:D37"/>
    <mergeCell ref="B51:F51"/>
    <mergeCell ref="C28:D28"/>
    <mergeCell ref="B50:F50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6" customWidth="1" min="3" max="3"/>
    <col width="62" customWidth="1" min="4" max="4"/>
    <col width="58" customWidth="1" min="5" max="5"/>
    <col width="11" customWidth="1" min="6" max="6"/>
  </cols>
  <sheetData>
    <row r="1" ht="24" customHeight="1">
      <c r="A1" s="8" t="inlineStr">
        <is>
          <t>Código</t>
        </is>
      </c>
      <c r="B1" s="8" t="inlineStr">
        <is>
          <t>Categoría</t>
        </is>
      </c>
      <c r="C1" s="8" t="inlineStr">
        <is>
          <t>Requisito</t>
        </is>
      </c>
      <c r="D1" s="8" t="inlineStr">
        <is>
          <t>Descripción</t>
        </is>
      </c>
      <c r="E1" s="8" t="inlineStr">
        <is>
          <t>Criterio de aceptación</t>
        </is>
      </c>
      <c r="F1" s="8" t="inlineStr">
        <is>
          <t>Prioridad</t>
        </is>
      </c>
    </row>
    <row r="2" ht="34" customHeight="1">
      <c r="A2" s="10" t="inlineStr">
        <is>
          <t>RF-01</t>
        </is>
      </c>
      <c r="B2" s="13" t="inlineStr">
        <is>
          <t>Cuenta del administrador</t>
        </is>
      </c>
      <c r="C2" s="9" t="inlineStr">
        <is>
          <t>Inicio de sesión del administrador</t>
        </is>
      </c>
      <c r="D2" s="13" t="inlineStr">
        <is>
          <t>El administrador ingresa con usuario y contraseña, y confirma con un código de verificación de un solo uso.</t>
        </is>
      </c>
      <c r="E2" s="13" t="inlineStr">
        <is>
          <t>Con credenciales válidas accede al panel. Con credenciales inválidas recibe un mensaje genérico y no entra.</t>
        </is>
      </c>
      <c r="F2" s="10" t="inlineStr">
        <is>
          <t>Alta</t>
        </is>
      </c>
    </row>
    <row r="3" ht="34" customHeight="1">
      <c r="A3" s="15" t="inlineStr">
        <is>
          <t>RF-02</t>
        </is>
      </c>
      <c r="B3" s="16" t="inlineStr">
        <is>
          <t>Cuenta del administrador</t>
        </is>
      </c>
      <c r="C3" s="11" t="inlineStr">
        <is>
          <t>Cierre de sesión del administrador</t>
        </is>
      </c>
      <c r="D3" s="16" t="inlineStr">
        <is>
          <t>El administrador cierra su sesión y esta queda invalidada.</t>
        </is>
      </c>
      <c r="E3" s="16" t="inlineStr">
        <is>
          <t>Después de cerrar sesión, las rutas del panel responden que no está autorizado.</t>
        </is>
      </c>
      <c r="F3" s="15" t="inlineStr">
        <is>
          <t>Media</t>
        </is>
      </c>
    </row>
    <row r="4" ht="34" customHeight="1">
      <c r="A4" s="10" t="inlineStr">
        <is>
          <t>RF-03</t>
        </is>
      </c>
      <c r="B4" s="13" t="inlineStr">
        <is>
          <t>Gestión de salas</t>
        </is>
      </c>
      <c r="C4" s="9" t="inlineStr">
        <is>
          <t>Crear una sala con identificador único</t>
        </is>
      </c>
      <c r="D4" s="13" t="inlineStr">
        <is>
          <t>El administrador crea una sala con un identificador único. El identificador se normaliza a minúsculas y sin espacios.</t>
        </is>
      </c>
      <c r="E4" s="13" t="inlineStr">
        <is>
          <t>No pueden existir dos salas con el mismo identificador. Un duplicado se rechaza con un error de conflicto.</t>
        </is>
      </c>
      <c r="F4" s="10" t="inlineStr">
        <is>
          <t>Alta</t>
        </is>
      </c>
    </row>
    <row r="5" ht="48" customHeight="1">
      <c r="A5" s="15" t="inlineStr">
        <is>
          <t>RF-04</t>
        </is>
      </c>
      <c r="B5" s="16" t="inlineStr">
        <is>
          <t>Gestión de salas</t>
        </is>
      </c>
      <c r="C5" s="11" t="inlineStr">
        <is>
          <t>Clave de acceso propia por sala</t>
        </is>
      </c>
      <c r="D5" s="16" t="inlineStr">
        <is>
          <t>Cada sala tiene una clave de acceso independiente, definida al crearla.</t>
        </is>
      </c>
      <c r="E5" s="16" t="inlineStr">
        <is>
          <t>Dos salas pueden tener claves distintas. Una clave débil (menos de 12 caracteres o de menos de 3 tipos de caracteres) se rechaza.</t>
        </is>
      </c>
      <c r="F5" s="15" t="inlineStr">
        <is>
          <t>Alta</t>
        </is>
      </c>
    </row>
    <row r="6" ht="34" customHeight="1">
      <c r="A6" s="10" t="inlineStr">
        <is>
          <t>RF-05</t>
        </is>
      </c>
      <c r="B6" s="13" t="inlineStr">
        <is>
          <t>Gestión de salas</t>
        </is>
      </c>
      <c r="C6" s="9" t="inlineStr">
        <is>
          <t>Número máximo de participantes</t>
        </is>
      </c>
      <c r="D6" s="13" t="inlineStr">
        <is>
          <t>Al crear la sala se define el máximo de participantes (de 2 a 50) y el administrador puede cambiarlo después.</t>
        </is>
      </c>
      <c r="E6" s="13" t="inlineStr">
        <is>
          <t>El cupo no puede quedar por debajo de los participantes conectados en ese momento.</t>
        </is>
      </c>
      <c r="F6" s="10" t="inlineStr">
        <is>
          <t>Alta</t>
        </is>
      </c>
    </row>
    <row r="7" ht="34" customHeight="1">
      <c r="A7" s="15" t="inlineStr">
        <is>
          <t>RF-06</t>
        </is>
      </c>
      <c r="B7" s="16" t="inlineStr">
        <is>
          <t>Gestión de salas</t>
        </is>
      </c>
      <c r="C7" s="11" t="inlineStr">
        <is>
          <t>Tipo de comunicación de la sala</t>
        </is>
      </c>
      <c r="D7" s="16" t="inlineStr">
        <is>
          <t>Cada sala se configura como solo texto, solo multimedia o texto y multimedia.</t>
        </is>
      </c>
      <c r="E7" s="16" t="inlineStr">
        <is>
          <t>El tipo se elige al crear la sala y se puede cambiar después. La sala hace cumplir su tipo.</t>
        </is>
      </c>
      <c r="F7" s="15" t="inlineStr">
        <is>
          <t>Alta</t>
        </is>
      </c>
    </row>
    <row r="8" ht="34" customHeight="1">
      <c r="A8" s="10" t="inlineStr">
        <is>
          <t>RF-07</t>
        </is>
      </c>
      <c r="B8" s="13" t="inlineStr">
        <is>
          <t>Gestión de salas</t>
        </is>
      </c>
      <c r="C8" s="9" t="inlineStr">
        <is>
          <t>Consultar salas</t>
        </is>
      </c>
      <c r="D8" s="13" t="inlineStr">
        <is>
          <t>El administrador ve la lista de salas con su tipo, su ocupación (conectados sobre cupo) y su estado.</t>
        </is>
      </c>
      <c r="E8" s="13" t="inlineStr">
        <is>
          <t>La lista muestra todas las salas con esos datos actualizados.</t>
        </is>
      </c>
      <c r="F8" s="10" t="inlineStr">
        <is>
          <t>Media</t>
        </is>
      </c>
    </row>
    <row r="9" ht="34" customHeight="1">
      <c r="A9" s="15" t="inlineStr">
        <is>
          <t>RF-08</t>
        </is>
      </c>
      <c r="B9" s="16" t="inlineStr">
        <is>
          <t>Gestión de salas</t>
        </is>
      </c>
      <c r="C9" s="11" t="inlineStr">
        <is>
          <t>Modificar una sala</t>
        </is>
      </c>
      <c r="D9" s="16" t="inlineStr">
        <is>
          <t>Desde el panel el administrador cambia la clave, el cupo y el tipo de una sala.</t>
        </is>
      </c>
      <c r="E9" s="16" t="inlineStr">
        <is>
          <t>Los cambios quedan guardados y se reflejan en la lista de salas.</t>
        </is>
      </c>
      <c r="F9" s="15" t="inlineStr">
        <is>
          <t>Media</t>
        </is>
      </c>
    </row>
    <row r="10" ht="34" customHeight="1">
      <c r="A10" s="10" t="inlineStr">
        <is>
          <t>RF-09</t>
        </is>
      </c>
      <c r="B10" s="13" t="inlineStr">
        <is>
          <t>Gestión de salas</t>
        </is>
      </c>
      <c r="C10" s="9" t="inlineStr">
        <is>
          <t>Cerrar una sala</t>
        </is>
      </c>
      <c r="D10" s="13" t="inlineStr">
        <is>
          <t>El administrador cierra una sala: se expulsa a sus participantes y deja de admitir ingresos.</t>
        </is>
      </c>
      <c r="E10" s="13" t="inlineStr">
        <is>
          <t>Los participantes conectados reciben el cierre. Un nuevo intento de ingreso a esa sala se rechaza.</t>
        </is>
      </c>
      <c r="F10" s="10" t="inlineStr">
        <is>
          <t>Alta</t>
        </is>
      </c>
    </row>
    <row r="11" ht="34" customHeight="1">
      <c r="A11" s="15" t="inlineStr">
        <is>
          <t>RF-10</t>
        </is>
      </c>
      <c r="B11" s="16" t="inlineStr">
        <is>
          <t>Supervisión</t>
        </is>
      </c>
      <c r="C11" s="11" t="inlineStr">
        <is>
          <t>Consultar los eventos de seguridad</t>
        </is>
      </c>
      <c r="D11" s="16" t="inlineStr">
        <is>
          <t>El administrador consulta los eventos de seguridad registrados y puede filtrarlos por severidad.</t>
        </is>
      </c>
      <c r="E11" s="16" t="inlineStr">
        <is>
          <t>La consulta devuelve los eventos ordenados del más reciente al más antiguo.</t>
        </is>
      </c>
      <c r="F11" s="15" t="inlineStr">
        <is>
          <t>Alta</t>
        </is>
      </c>
    </row>
    <row r="12" ht="34" customHeight="1">
      <c r="A12" s="10" t="inlineStr">
        <is>
          <t>RF-11</t>
        </is>
      </c>
      <c r="B12" s="13" t="inlineStr">
        <is>
          <t>Supervisión</t>
        </is>
      </c>
      <c r="C12" s="9" t="inlineStr">
        <is>
          <t>Alertas visibles en el panel</t>
        </is>
      </c>
      <c r="D12" s="13" t="inlineStr">
        <is>
          <t>El panel muestra una alerta cuando aparece un evento de severidad advertencia o crítica.</t>
        </is>
      </c>
      <c r="E12" s="13" t="inlineStr">
        <is>
          <t>En un máximo de 10 segundos aparecen la insignia con el contador y el aviso con la acción registrada.</t>
        </is>
      </c>
      <c r="F12" s="10" t="inlineStr">
        <is>
          <t>Media</t>
        </is>
      </c>
    </row>
    <row r="13" ht="34" customHeight="1">
      <c r="A13" s="15" t="inlineStr">
        <is>
          <t>RF-12</t>
        </is>
      </c>
      <c r="B13" s="16" t="inlineStr">
        <is>
          <t>Supervisión</t>
        </is>
      </c>
      <c r="C13" s="11" t="inlineStr">
        <is>
          <t>Revisión de la cuarentena</t>
        </is>
      </c>
      <c r="D13" s="16" t="inlineStr">
        <is>
          <t>El administrador lista los archivos en cuarentena con su veredicto y decide liberarlos o eliminarlos.</t>
        </is>
      </c>
      <c r="E13" s="16" t="inlineStr">
        <is>
          <t>Liberar publica la versión sanitizada del archivo en la sala. Eliminar borra el archivo.</t>
        </is>
      </c>
      <c r="F13" s="15" t="inlineStr">
        <is>
          <t>Media</t>
        </is>
      </c>
    </row>
    <row r="14" ht="34" customHeight="1">
      <c r="A14" s="10" t="inlineStr">
        <is>
          <t>RF-13</t>
        </is>
      </c>
      <c r="B14" s="13" t="inlineStr">
        <is>
          <t>Acceso de participantes</t>
        </is>
      </c>
      <c r="C14" s="9" t="inlineStr">
        <is>
          <t>Ingreso con identificador y clave</t>
        </is>
      </c>
      <c r="D14" s="13" t="inlineStr">
        <is>
          <t>El participante ingresa a una sala indicando el identificador de la sala, su clave y un alias.</t>
        </is>
      </c>
      <c r="E14" s="13" t="inlineStr">
        <is>
          <t>Con datos correctos entra a la sala. Con datos incorrectos recibe un mensaje genérico que no indica cuál dato falló.</t>
        </is>
      </c>
      <c r="F14" s="10" t="inlineStr">
        <is>
          <t>Alta</t>
        </is>
      </c>
    </row>
    <row r="15" ht="34" customHeight="1">
      <c r="A15" s="15" t="inlineStr">
        <is>
          <t>RF-14</t>
        </is>
      </c>
      <c r="B15" s="16" t="inlineStr">
        <is>
          <t>Acceso de participantes</t>
        </is>
      </c>
      <c r="C15" s="11" t="inlineStr">
        <is>
          <t>Rechazo de identificador o clave inválidos</t>
        </is>
      </c>
      <c r="D15" s="16" t="inlineStr">
        <is>
          <t>Un identificador inexistente o una clave incorrecta se rechazan sin revelar si la sala existe.</t>
        </is>
      </c>
      <c r="E15" s="16" t="inlineStr">
        <is>
          <t>El mensaje y el tiempo de respuesta son equivalentes para una sala inexistente y para una clave incorrecta.</t>
        </is>
      </c>
      <c r="F15" s="15" t="inlineStr">
        <is>
          <t>Alta</t>
        </is>
      </c>
    </row>
    <row r="16" ht="34" customHeight="1">
      <c r="A16" s="10" t="inlineStr">
        <is>
          <t>RF-15</t>
        </is>
      </c>
      <c r="B16" s="13" t="inlineStr">
        <is>
          <t>Acceso de participantes</t>
        </is>
      </c>
      <c r="C16" s="9" t="inlineStr">
        <is>
          <t>Rechazo por sala llena</t>
        </is>
      </c>
      <c r="D16" s="13" t="inlineStr">
        <is>
          <t>Si la sala alcanzó su cupo, el ingreso se rechaza.</t>
        </is>
      </c>
      <c r="E16" s="13" t="inlineStr">
        <is>
          <t>Con el cupo lleno el ingreso devuelve el error de sala llena. El cupo no se supera ni siquiera con ingresos simultáneos.</t>
        </is>
      </c>
      <c r="F16" s="10" t="inlineStr">
        <is>
          <t>Alta</t>
        </is>
      </c>
    </row>
    <row r="17" ht="34" customHeight="1">
      <c r="A17" s="15" t="inlineStr">
        <is>
          <t>RF-16</t>
        </is>
      </c>
      <c r="B17" s="16" t="inlineStr">
        <is>
          <t>Acceso de participantes</t>
        </is>
      </c>
      <c r="C17" s="11" t="inlineStr">
        <is>
          <t>Rechazo por sala cerrada</t>
        </is>
      </c>
      <c r="D17" s="16" t="inlineStr">
        <is>
          <t>Una sala cerrada no admite ingresos.</t>
        </is>
      </c>
      <c r="E17" s="16" t="inlineStr">
        <is>
          <t>El ingreso a una sala cerrada se rechaza con el mismo mensaje genérico.</t>
        </is>
      </c>
      <c r="F17" s="15" t="inlineStr">
        <is>
          <t>Media</t>
        </is>
      </c>
    </row>
    <row r="18" ht="34" customHeight="1">
      <c r="A18" s="10" t="inlineStr">
        <is>
          <t>RF-17</t>
        </is>
      </c>
      <c r="B18" s="13" t="inlineStr">
        <is>
          <t>Acceso de participantes</t>
        </is>
      </c>
      <c r="C18" s="9" t="inlineStr">
        <is>
          <t>Un solo dispositivo por participante</t>
        </is>
      </c>
      <c r="D18" s="13" t="inlineStr">
        <is>
          <t>Un participante se conecta desde un único dispositivo. El segundo intento se rechaza.</t>
        </is>
      </c>
      <c r="E18" s="13" t="inlineStr">
        <is>
          <t>Un ingreso con el mismo alias desde otro dispositivo falla mientras la primera sesión esté activa.</t>
        </is>
      </c>
      <c r="F18" s="10" t="inlineStr">
        <is>
          <t>Alta</t>
        </is>
      </c>
    </row>
    <row r="19" ht="34" customHeight="1">
      <c r="A19" s="15" t="inlineStr">
        <is>
          <t>RF-18</t>
        </is>
      </c>
      <c r="B19" s="16" t="inlineStr">
        <is>
          <t>Sesiones</t>
        </is>
      </c>
      <c r="C19" s="11" t="inlineStr">
        <is>
          <t>Salida voluntaria de la sala</t>
        </is>
      </c>
      <c r="D19" s="16" t="inlineStr">
        <is>
          <t>El participante sale de la sala y libera su alias y su cupo.</t>
        </is>
      </c>
      <c r="E19" s="16" t="inlineStr">
        <is>
          <t>Después de salir, otro participante puede usar ese alias y el contador de ocupación disminuye.</t>
        </is>
      </c>
      <c r="F19" s="15" t="inlineStr">
        <is>
          <t>Media</t>
        </is>
      </c>
    </row>
    <row r="20" ht="34" customHeight="1">
      <c r="A20" s="10" t="inlineStr">
        <is>
          <t>RF-19</t>
        </is>
      </c>
      <c r="B20" s="13" t="inlineStr">
        <is>
          <t>Sesiones</t>
        </is>
      </c>
      <c r="C20" s="9" t="inlineStr">
        <is>
          <t>Cierre automático de sesiones inactivas o caídas</t>
        </is>
      </c>
      <c r="D20" s="13" t="inlineStr">
        <is>
          <t>Las sesiones sin actividad o con la conexión caída se cierran solas y liberan su cupo.</t>
        </is>
      </c>
      <c r="E20" s="13" t="inlineStr">
        <is>
          <t>Pasados 15 minutos sin mensajes la conexión se cierra. Una caída sin aviso termina la sesión tras unos 2 minutos.</t>
        </is>
      </c>
      <c r="F20" s="10" t="inlineStr">
        <is>
          <t>Media</t>
        </is>
      </c>
    </row>
    <row r="21" ht="34" customHeight="1">
      <c r="A21" s="15" t="inlineStr">
        <is>
          <t>RF-20</t>
        </is>
      </c>
      <c r="B21" s="16" t="inlineStr">
        <is>
          <t>Mensajería</t>
        </is>
      </c>
      <c r="C21" s="11" t="inlineStr">
        <is>
          <t>Chat de texto en tiempo real</t>
        </is>
      </c>
      <c r="D21" s="16" t="inlineStr">
        <is>
          <t>Los participantes intercambian mensajes de texto dentro de la sala (de 1 a 2000 caracteres, sin caracteres de control).</t>
        </is>
      </c>
      <c r="E21" s="16" t="inlineStr">
        <is>
          <t>Un mensaje llega a todos los conectados de la sala y a ninguna otra. Un mensaje fuera de los límites se rechaza.</t>
        </is>
      </c>
      <c r="F21" s="15" t="inlineStr">
        <is>
          <t>Alta</t>
        </is>
      </c>
    </row>
    <row r="22" ht="34" customHeight="1">
      <c r="A22" s="10" t="inlineStr">
        <is>
          <t>RF-21</t>
        </is>
      </c>
      <c r="B22" s="13" t="inlineStr">
        <is>
          <t>Mensajería</t>
        </is>
      </c>
      <c r="C22" s="9" t="inlineStr">
        <is>
          <t>Avisos de entrada y salida, e historial</t>
        </is>
      </c>
      <c r="D22" s="13" t="inlineStr">
        <is>
          <t>La sala informa quién entra y quién sale, y entrega el historial reciente al conectarse.</t>
        </is>
      </c>
      <c r="E22" s="13" t="inlineStr">
        <is>
          <t>Al entrar, el participante recibe los últimos 50 mensajes y eventos de archivo de la sala.</t>
        </is>
      </c>
      <c r="F22" s="10" t="inlineStr">
        <is>
          <t>Baja</t>
        </is>
      </c>
    </row>
    <row r="23" ht="34" customHeight="1">
      <c r="A23" s="15" t="inlineStr">
        <is>
          <t>RF-22</t>
        </is>
      </c>
      <c r="B23" s="16" t="inlineStr">
        <is>
          <t>Mensajería</t>
        </is>
      </c>
      <c r="C23" s="11" t="inlineStr">
        <is>
          <t>Respeto del tipo de sala</t>
        </is>
      </c>
      <c r="D23" s="16" t="inlineStr">
        <is>
          <t>Una sala de solo texto rechaza archivos y una sala de solo multimedia rechaza texto.</t>
        </is>
      </c>
      <c r="E23" s="16" t="inlineStr">
        <is>
          <t>El intento fuera del tipo de la sala se rechaza y queda registrado.</t>
        </is>
      </c>
      <c r="F23" s="15" t="inlineStr">
        <is>
          <t>Alta</t>
        </is>
      </c>
    </row>
    <row r="24" ht="34" customHeight="1">
      <c r="A24" s="10" t="inlineStr">
        <is>
          <t>RF-23</t>
        </is>
      </c>
      <c r="B24" s="13" t="inlineStr">
        <is>
          <t>Archivos multimedia</t>
        </is>
      </c>
      <c r="C24" s="9" t="inlineStr">
        <is>
          <t>Subir imágenes</t>
        </is>
      </c>
      <c r="D24" s="13" t="inlineStr">
        <is>
          <t>En las salas que lo permiten, el participante sube imágenes PNG o JPEG.</t>
        </is>
      </c>
      <c r="E24" s="13" t="inlineStr">
        <is>
          <t>Una imagen válida aparece para todos los participantes de la sala.</t>
        </is>
      </c>
      <c r="F24" s="10" t="inlineStr">
        <is>
          <t>Alta</t>
        </is>
      </c>
    </row>
    <row r="25" ht="34" customHeight="1">
      <c r="A25" s="15" t="inlineStr">
        <is>
          <t>RF-24</t>
        </is>
      </c>
      <c r="B25" s="16" t="inlineStr">
        <is>
          <t>Archivos multimedia</t>
        </is>
      </c>
      <c r="C25" s="11" t="inlineStr">
        <is>
          <t>Ver y descargar imágenes</t>
        </is>
      </c>
      <c r="D25" s="16" t="inlineStr">
        <is>
          <t>Los participantes ven las imágenes compartidas en su sala.</t>
        </is>
      </c>
      <c r="E25" s="16" t="inlineStr">
        <is>
          <t>Solo los miembros de la sala pueden obtener la imagen. Un enlace vencido o ajeno no funciona.</t>
        </is>
      </c>
      <c r="F25" s="15" t="inlineStr">
        <is>
          <t>Alta</t>
        </is>
      </c>
    </row>
    <row r="26" ht="34" customHeight="1">
      <c r="A26" s="10" t="inlineStr">
        <is>
          <t>RF-25</t>
        </is>
      </c>
      <c r="B26" s="13" t="inlineStr">
        <is>
          <t>Archivos multimedia</t>
        </is>
      </c>
      <c r="C26" s="9" t="inlineStr">
        <is>
          <t>Validación del archivo antes de compartirlo</t>
        </is>
      </c>
      <c r="D26" s="13" t="inlineStr">
        <is>
          <t>Antes de publicarse, el archivo se valida: tipo real, tamaño (hasta 5 MB), dimensiones y que se pueda decodificar.</t>
        </is>
      </c>
      <c r="E26" s="13" t="inlineStr">
        <is>
          <t>Un archivo con tipo falso, demasiado grande o corrupto se rechaza.</t>
        </is>
      </c>
      <c r="F26" s="10" t="inlineStr">
        <is>
          <t>Alta</t>
        </is>
      </c>
    </row>
    <row r="27" ht="34" customHeight="1">
      <c r="A27" s="15" t="inlineStr">
        <is>
          <t>RF-26</t>
        </is>
      </c>
      <c r="B27" s="16" t="inlineStr">
        <is>
          <t>Archivos multimedia</t>
        </is>
      </c>
      <c r="C27" s="11" t="inlineStr">
        <is>
          <t>Análisis antimalware</t>
        </is>
      </c>
      <c r="D27" s="16" t="inlineStr">
        <is>
          <t>Cada archivo se analiza con un antivirus antes de publicarse.</t>
        </is>
      </c>
      <c r="E27" s="16" t="inlineStr">
        <is>
          <t>Un archivo con malware se rechaza con alerta crítica. Si el antivirus no responde, no se acepta ningún archivo.</t>
        </is>
      </c>
      <c r="F27" s="15" t="inlineStr">
        <is>
          <t>Alta</t>
        </is>
      </c>
    </row>
    <row r="28" ht="34" customHeight="1">
      <c r="A28" s="10" t="inlineStr">
        <is>
          <t>RF-27</t>
        </is>
      </c>
      <c r="B28" s="13" t="inlineStr">
        <is>
          <t>Archivos multimedia</t>
        </is>
      </c>
      <c r="C28" s="9" t="inlineStr">
        <is>
          <t>Detección de esteganografía</t>
        </is>
      </c>
      <c r="D28" s="13" t="inlineStr">
        <is>
          <t>El sistema identifica imágenes sospechosas de ocultar información o de haber sido modificadas.</t>
        </is>
      </c>
      <c r="E28" s="13" t="inlineStr">
        <is>
          <t>Una imagen con datos ocultos de prueba queda retenida. Una imagen limpia se acepta.</t>
        </is>
      </c>
      <c r="F28" s="10" t="inlineStr">
        <is>
          <t>Alta</t>
        </is>
      </c>
    </row>
    <row r="29" ht="48" customHeight="1">
      <c r="A29" s="15" t="inlineStr">
        <is>
          <t>RF-28</t>
        </is>
      </c>
      <c r="B29" s="16" t="inlineStr">
        <is>
          <t>Archivos multimedia</t>
        </is>
      </c>
      <c r="C29" s="11" t="inlineStr">
        <is>
          <t>Política ante archivos sospechosos</t>
        </is>
      </c>
      <c r="D29" s="16" t="inlineStr">
        <is>
          <t>Rechazo (archivo inválido o con malware), cuarentena (sospecha de esteganografía) o sanitización (archivo limpio). Se informa a quien subió el archivo.</t>
        </is>
      </c>
      <c r="E29" s="16" t="inlineStr">
        <is>
          <t>Un archivo sospechoso no se publica y quien lo subió recibe un mensaje general con el resultado.</t>
        </is>
      </c>
      <c r="F29" s="15" t="inlineStr">
        <is>
          <t>Alta</t>
        </is>
      </c>
    </row>
    <row r="30" ht="34" customHeight="1">
      <c r="A30" s="10" t="inlineStr">
        <is>
          <t>RF-29</t>
        </is>
      </c>
      <c r="B30" s="13" t="inlineStr">
        <is>
          <t>Archivos multimedia</t>
        </is>
      </c>
      <c r="C30" s="9" t="inlineStr">
        <is>
          <t>Formatos ampliables</t>
        </is>
      </c>
      <c r="D30" s="13" t="inlineStr">
        <is>
          <t>Se pueden agregar nuevos formatos de archivo sin reescribir el proceso de análisis.</t>
        </is>
      </c>
      <c r="E30" s="13" t="inlineStr">
        <is>
          <t>Agregar un formato requiere solo una entrada nueva, su módulo y sus pruebas.</t>
        </is>
      </c>
      <c r="F30" s="10" t="inlineStr">
        <is>
          <t>Baja</t>
        </is>
      </c>
    </row>
    <row r="31" ht="34" customHeight="1">
      <c r="A31" s="15" t="inlineStr">
        <is>
          <t>RF-30</t>
        </is>
      </c>
      <c r="B31" s="16" t="inlineStr">
        <is>
          <t>Auditoría</t>
        </is>
      </c>
      <c r="C31" s="11" t="inlineStr">
        <is>
          <t>Registro de eventos y actividades de seguridad</t>
        </is>
      </c>
      <c r="D31" s="16" t="inlineStr">
        <is>
          <t>El sistema registra los eventos relevantes: accesos, rechazos, cambios en las salas y archivos retenidos.</t>
        </is>
      </c>
      <c r="E31" s="16" t="inlineStr">
        <is>
          <t>Cada rechazo de seguridad genera un registro con fecha, actor y acción.</t>
        </is>
      </c>
      <c r="F31" s="15" t="inlineStr">
        <is>
          <t>Alta</t>
        </is>
      </c>
    </row>
  </sheetData>
  <autoFilter ref="A1:F31"/>
  <conditionalFormatting sqref="F2:F31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"Baja"</formula>
    </cfRule>
  </conditionalFormatting>
  <dataValidations count="1">
    <dataValidation sqref="F2:F31" showDropDown="0" showInputMessage="0" showErrorMessage="0" allowBlank="0" type="list">
      <formula1>"Alta,Media,Baja"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6" customWidth="1" min="3" max="3"/>
    <col width="62" customWidth="1" min="4" max="4"/>
    <col width="58" customWidth="1" min="5" max="5"/>
    <col width="11" customWidth="1" min="6" max="6"/>
  </cols>
  <sheetData>
    <row r="1" ht="24" customHeight="1">
      <c r="A1" s="8" t="inlineStr">
        <is>
          <t>Código</t>
        </is>
      </c>
      <c r="B1" s="8" t="inlineStr">
        <is>
          <t>Categoría</t>
        </is>
      </c>
      <c r="C1" s="8" t="inlineStr">
        <is>
          <t>Requisito</t>
        </is>
      </c>
      <c r="D1" s="8" t="inlineStr">
        <is>
          <t>Descripción</t>
        </is>
      </c>
      <c r="E1" s="8" t="inlineStr">
        <is>
          <t>Criterio de aceptación</t>
        </is>
      </c>
      <c r="F1" s="8" t="inlineStr">
        <is>
          <t>Prioridad</t>
        </is>
      </c>
    </row>
    <row r="2" ht="48" customHeight="1">
      <c r="A2" s="10" t="inlineStr">
        <is>
          <t>RS-01</t>
        </is>
      </c>
      <c r="B2" s="13" t="inlineStr">
        <is>
          <t>Autenticación y sesiones</t>
        </is>
      </c>
      <c r="C2" s="9" t="inlineStr">
        <is>
          <t>Autenticación segura del administrador</t>
        </is>
      </c>
      <c r="D2" s="13" t="inlineStr">
        <is>
          <t>La contraseña se guarda con Argon2id, el acceso exige un código TOTP, hay bloqueo tras 5 fallos con retraso progresivo y el token cambia al completar el segundo factor.</t>
        </is>
      </c>
      <c r="E2" s="13" t="inlineStr">
        <is>
          <t>Cinco intentos fallidos bloquean al usuario. Sin el código TOTP no hay acceso. Un código ya usado se rechaza.</t>
        </is>
      </c>
      <c r="F2" s="10" t="inlineStr">
        <is>
          <t>Alta</t>
        </is>
      </c>
    </row>
    <row r="3" ht="34" customHeight="1">
      <c r="A3" s="15" t="inlineStr">
        <is>
          <t>RS-02</t>
        </is>
      </c>
      <c r="B3" s="16" t="inlineStr">
        <is>
          <t>Autenticación y sesiones</t>
        </is>
      </c>
      <c r="C3" s="11" t="inlineStr">
        <is>
          <t>Autorización del administrador en cada operación</t>
        </is>
      </c>
      <c r="D3" s="16" t="inlineStr">
        <is>
          <t>Cada operación administrativa se valida en el servidor, en cada servicio, según el rol.</t>
        </is>
      </c>
      <c r="E3" s="16" t="inlineStr">
        <is>
          <t>Una petición a una ruta de administración sin identidad de administrador responde que no está autorizada.</t>
        </is>
      </c>
      <c r="F3" s="15" t="inlineStr">
        <is>
          <t>Alta</t>
        </is>
      </c>
    </row>
    <row r="4" ht="34" customHeight="1">
      <c r="A4" s="10" t="inlineStr">
        <is>
          <t>RS-03</t>
        </is>
      </c>
      <c r="B4" s="13" t="inlineStr">
        <is>
          <t>Autenticación y sesiones</t>
        </is>
      </c>
      <c r="C4" s="9" t="inlineStr">
        <is>
          <t>Clave de sala protegida</t>
        </is>
      </c>
      <c r="D4" s="13" t="inlineStr">
        <is>
          <t>La clave de sala se guarda solo como hash Argon2id con sal. Nunca existe en claro.</t>
        </is>
      </c>
      <c r="E4" s="13" t="inlineStr">
        <is>
          <t>Ninguna columna de la base de datos contiene la clave y el hash empieza con $argon2id$.</t>
        </is>
      </c>
      <c r="F4" s="10" t="inlineStr">
        <is>
          <t>Alta</t>
        </is>
      </c>
    </row>
    <row r="5" ht="34" customHeight="1">
      <c r="A5" s="15" t="inlineStr">
        <is>
          <t>RS-04</t>
        </is>
      </c>
      <c r="B5" s="16" t="inlineStr">
        <is>
          <t>Autenticación y sesiones</t>
        </is>
      </c>
      <c r="C5" s="11" t="inlineStr">
        <is>
          <t>Ingreso controlado por intentos</t>
        </is>
      </c>
      <c r="D5" s="16" t="inlineStr">
        <is>
          <t>El ingreso exige identificador y clave, y limita los intentos fallidos por IP, por dispositivo y por sala.</t>
        </is>
      </c>
      <c r="E5" s="16" t="inlineStr">
        <is>
          <t>Superado el límite, el ingreso responde que hay demasiados intentos.</t>
        </is>
      </c>
      <c r="F5" s="15" t="inlineStr">
        <is>
          <t>Alta</t>
        </is>
      </c>
    </row>
    <row r="6" ht="34" customHeight="1">
      <c r="A6" s="10" t="inlineStr">
        <is>
          <t>RS-05</t>
        </is>
      </c>
      <c r="B6" s="13" t="inlineStr">
        <is>
          <t>Autenticación y sesiones</t>
        </is>
      </c>
      <c r="C6" s="9" t="inlineStr">
        <is>
          <t>Sesión ligada al dispositivo</t>
        </is>
      </c>
      <c r="D6" s="13" t="inlineStr">
        <is>
          <t>La sesión del participante queda atada a su dispositivo y se comprueba en cada petición.</t>
        </is>
      </c>
      <c r="E6" s="13" t="inlineStr">
        <is>
          <t>Una sesión copiada a otro dispositivo es rechazada.</t>
        </is>
      </c>
      <c r="F6" s="10" t="inlineStr">
        <is>
          <t>Alta</t>
        </is>
      </c>
    </row>
    <row r="7" ht="48" customHeight="1">
      <c r="A7" s="15" t="inlineStr">
        <is>
          <t>RS-06</t>
        </is>
      </c>
      <c r="B7" s="16" t="inlineStr">
        <is>
          <t>Autenticación y sesiones</t>
        </is>
      </c>
      <c r="C7" s="11" t="inlineStr">
        <is>
          <t>Control de sesiones activas</t>
        </is>
      </c>
      <c r="D7" s="16" t="inlineStr">
        <is>
          <t>Alias único activo, cupo atómico, una sola conexión por sesión, expiración y barrido de sesiones caídas.</t>
        </is>
      </c>
      <c r="E7" s="16" t="inlineStr">
        <is>
          <t>Con 20 ingresos simultáneos y cupo 5 se aceptan exactamente 5. Una segunda conexión de la misma sesión reemplaza a la anterior.</t>
        </is>
      </c>
      <c r="F7" s="15" t="inlineStr">
        <is>
          <t>Alta</t>
        </is>
      </c>
    </row>
    <row r="8" ht="34" customHeight="1">
      <c r="A8" s="10" t="inlineStr">
        <is>
          <t>RS-07</t>
        </is>
      </c>
      <c r="B8" s="13" t="inlineStr">
        <is>
          <t>Autenticación y sesiones</t>
        </is>
      </c>
      <c r="C8" s="9" t="inlineStr">
        <is>
          <t>Cierre seguro de conexiones</t>
        </is>
      </c>
      <c r="D8" s="13" t="inlineStr">
        <is>
          <t>Al terminar una sesión el token queda inválido, se libera el cupo, se avisa a la sala y se registra el evento.</t>
        </is>
      </c>
      <c r="E8" s="13" t="inlineStr">
        <is>
          <t>Después de salir, el token ya no sirve y el alias queda libre.</t>
        </is>
      </c>
      <c r="F8" s="10" t="inlineStr">
        <is>
          <t>Alta</t>
        </is>
      </c>
    </row>
    <row r="9" ht="34" customHeight="1">
      <c r="A9" s="15" t="inlineStr">
        <is>
          <t>RS-08</t>
        </is>
      </c>
      <c r="B9" s="16" t="inlineStr">
        <is>
          <t>Autenticación y sesiones</t>
        </is>
      </c>
      <c r="C9" s="11" t="inlineStr">
        <is>
          <t>Rechazo de credenciales mal usadas</t>
        </is>
      </c>
      <c r="D9" s="16" t="inlineStr">
        <is>
          <t>Un token de sala usado en otro equipo, o en rutas de administración, se rechaza.</t>
        </is>
      </c>
      <c r="E9" s="16" t="inlineStr">
        <is>
          <t>Una cookie de sala enviada a una ruta de administración responde que no está autorizada.</t>
        </is>
      </c>
      <c r="F9" s="15" t="inlineStr">
        <is>
          <t>Alta</t>
        </is>
      </c>
    </row>
    <row r="10" ht="34" customHeight="1">
      <c r="A10" s="10" t="inlineStr">
        <is>
          <t>RS-09</t>
        </is>
      </c>
      <c r="B10" s="13" t="inlineStr">
        <is>
          <t>Criptografía y claves</t>
        </is>
      </c>
      <c r="C10" s="9" t="inlineStr">
        <is>
          <t>Confidencialidad en tránsito</t>
        </is>
      </c>
      <c r="D10" s="13" t="inlineStr">
        <is>
          <t>Todo mensaje viaja cifrado: TLS 1.3 hasta el servidor y AES-256-GCM por conexión sobre un acuerdo ECDH efímero.</t>
        </is>
      </c>
      <c r="E10" s="13" t="inlineStr">
        <is>
          <t>Las tramas capturadas no contienen texto legible. Los vectores de prueba coinciden entre Python y el navegador.</t>
        </is>
      </c>
      <c r="F10" s="10" t="inlineStr">
        <is>
          <t>Alta</t>
        </is>
      </c>
    </row>
    <row r="11" ht="48" customHeight="1">
      <c r="A11" s="15" t="inlineStr">
        <is>
          <t>RS-10</t>
        </is>
      </c>
      <c r="B11" s="16" t="inlineStr">
        <is>
          <t>Criptografía y claves</t>
        </is>
      </c>
      <c r="C11" s="11" t="inlineStr">
        <is>
          <t>Integridad de los mensajes</t>
        </is>
      </c>
      <c r="D11" s="16" t="inlineStr">
        <is>
          <t>Cada trama se autentica (AES-GCM con sala, sesión, dirección y número de secuencia como datos asociados) y se rechaza la repetición.</t>
        </is>
      </c>
      <c r="E11" s="16" t="inlineStr">
        <is>
          <t>Una trama alterada cierra la conexión y genera una alerta crítica. Una trama repetida se rechaza.</t>
        </is>
      </c>
      <c r="F11" s="15" t="inlineStr">
        <is>
          <t>Alta</t>
        </is>
      </c>
    </row>
    <row r="12" ht="48" customHeight="1">
      <c r="A12" s="10" t="inlineStr">
        <is>
          <t>RS-11</t>
        </is>
      </c>
      <c r="B12" s="13" t="inlineStr">
        <is>
          <t>Criptografía y claves</t>
        </is>
      </c>
      <c r="C12" s="9" t="inlineStr">
        <is>
          <t>Autenticidad de las comunicaciones</t>
        </is>
      </c>
      <c r="D12" s="13" t="inlineStr">
        <is>
          <t>El servidor se autentica con un saludo firmado (ECDSA), el remitente se toma de la sesión verificada y se valida el origen de la conexión.</t>
        </is>
      </c>
      <c r="E12" s="13" t="inlineStr">
        <is>
          <t>Un participante no puede suplantar a otro. Una conexión desde un origen no permitido se cierra.</t>
        </is>
      </c>
      <c r="F12" s="10" t="inlineStr">
        <is>
          <t>Alta</t>
        </is>
      </c>
    </row>
    <row r="13" ht="34" customHeight="1">
      <c r="A13" s="15" t="inlineStr">
        <is>
          <t>RS-12</t>
        </is>
      </c>
      <c r="B13" s="16" t="inlineStr">
        <is>
          <t>Criptografía y claves</t>
        </is>
      </c>
      <c r="C13" s="11" t="inlineStr">
        <is>
          <t>Información protegida en reposo</t>
        </is>
      </c>
      <c r="D13" s="16" t="inlineStr">
        <is>
          <t>Los mensajes (una clave por sala) y los archivos (una clave por archivo) se guardan cifrados.</t>
        </is>
      </c>
      <c r="E13" s="16" t="inlineStr">
        <is>
          <t>Ni la base de datos ni el volumen de archivos contienen contenido legible.</t>
        </is>
      </c>
      <c r="F13" s="15" t="inlineStr">
        <is>
          <t>Alta</t>
        </is>
      </c>
    </row>
    <row r="14" ht="48" customHeight="1">
      <c r="A14" s="10" t="inlineStr">
        <is>
          <t>RS-13</t>
        </is>
      </c>
      <c r="B14" s="13" t="inlineStr">
        <is>
          <t>Criptografía y claves</t>
        </is>
      </c>
      <c r="C14" s="9" t="inlineStr">
        <is>
          <t>Gestión de claves</t>
        </is>
      </c>
      <c r="D14" s="13" t="inlineStr">
        <is>
          <t>Los secretos viven fuera del código, las claves se envuelven (KEK y DEK), los tokens se guardan como hash y cada clave tiene un procedimiento de rotación.</t>
        </is>
      </c>
      <c r="E14" s="13" t="inlineStr">
        <is>
          <t>El servicio no arranca sin sus secretos. Después de rotar una KEK todo el contenido sigue legible.</t>
        </is>
      </c>
      <c r="F14" s="10" t="inlineStr">
        <is>
          <t>Alta</t>
        </is>
      </c>
    </row>
    <row r="15" ht="34" customHeight="1">
      <c r="A15" s="15" t="inlineStr">
        <is>
          <t>RS-14</t>
        </is>
      </c>
      <c r="B15" s="16" t="inlineStr">
        <is>
          <t>Criptografía y claves</t>
        </is>
      </c>
      <c r="C15" s="11" t="inlineStr">
        <is>
          <t>Solo TLS 1.3 hacia el cliente</t>
        </is>
      </c>
      <c r="D15" s="16" t="inlineStr">
        <is>
          <t>El cliente se comunica únicamente por TLS 1.3 con HSTS. No existe ws:// ni http sin cifrar.</t>
        </is>
      </c>
      <c r="E15" s="16" t="inlineStr">
        <is>
          <t>Una conexión TLS 1.2 se rechaza y una petición http se redirige a https.</t>
        </is>
      </c>
      <c r="F15" s="15" t="inlineStr">
        <is>
          <t>Alta</t>
        </is>
      </c>
    </row>
    <row r="16" ht="34" customHeight="1">
      <c r="A16" s="10" t="inlineStr">
        <is>
          <t>RS-15</t>
        </is>
      </c>
      <c r="B16" s="13" t="inlineStr">
        <is>
          <t>Criptografía y claves</t>
        </is>
      </c>
      <c r="C16" s="9" t="inlineStr">
        <is>
          <t>Justificación criptográfica documentada</t>
        </is>
      </c>
      <c r="D16" s="13" t="inlineStr">
        <is>
          <t>Los algoritmos, los protocolos y la gestión de claves están justificados en un documento.</t>
        </is>
      </c>
      <c r="E16" s="13" t="inlineStr">
        <is>
          <t>El documento existe y cubre algoritmos, protocolo y ciclo de vida de las claves.</t>
        </is>
      </c>
      <c r="F16" s="10" t="inlineStr">
        <is>
          <t>Media</t>
        </is>
      </c>
    </row>
    <row r="17" ht="48" customHeight="1">
      <c r="A17" s="15" t="inlineStr">
        <is>
          <t>RS-16</t>
        </is>
      </c>
      <c r="B17" s="16" t="inlineStr">
        <is>
          <t>Contenido multimedia</t>
        </is>
      </c>
      <c r="C17" s="11" t="inlineStr">
        <is>
          <t>Carga segura de archivos</t>
        </is>
      </c>
      <c r="D17" s="16" t="inlineStr">
        <is>
          <t>Sesión válida, modo de sala permitido, límites de tamaño y de frecuencia, tipo real por firma del archivo y decodificación segura con tope de píxeles.</t>
        </is>
      </c>
      <c r="E17" s="16" t="inlineStr">
        <is>
          <t>Los archivos con firma falsa, de más de 5 MB o con bomba de descompresión se rechazan.</t>
        </is>
      </c>
      <c r="F17" s="15" t="inlineStr">
        <is>
          <t>Alta</t>
        </is>
      </c>
    </row>
    <row r="18" ht="48" customHeight="1">
      <c r="A18" s="10" t="inlineStr">
        <is>
          <t>RS-17</t>
        </is>
      </c>
      <c r="B18" s="13" t="inlineStr">
        <is>
          <t>Contenido multimedia</t>
        </is>
      </c>
      <c r="C18" s="9" t="inlineStr">
        <is>
          <t>Transferencia segura de archivos</t>
        </is>
      </c>
      <c r="D18" s="13" t="inlineStr">
        <is>
          <t>Descarga con enlace firmado de 60 segundos, ligado a la sesión y a la sala, con error genérico, nombres aleatorios y cabeceras nosniff y no-store.</t>
        </is>
      </c>
      <c r="E18" s="13" t="inlineStr">
        <is>
          <t>Un enlace vencido, de otra sesión o de otra sala responde 404.</t>
        </is>
      </c>
      <c r="F18" s="10" t="inlineStr">
        <is>
          <t>Alta</t>
        </is>
      </c>
    </row>
    <row r="19" ht="34" customHeight="1">
      <c r="A19" s="15" t="inlineStr">
        <is>
          <t>RS-18</t>
        </is>
      </c>
      <c r="B19" s="16" t="inlineStr">
        <is>
          <t>Contenido multimedia</t>
        </is>
      </c>
      <c r="C19" s="11" t="inlineStr">
        <is>
          <t>Detección de esteganografía calibrada</t>
        </is>
      </c>
      <c r="D19" s="16" t="inlineStr">
        <is>
          <t>Pruebas chi², RS y de estructura, con umbrales calibrados con imágenes reales.</t>
        </is>
      </c>
      <c r="E19" s="16" t="inlineStr">
        <is>
          <t>Falsos positivos de 5 % o menos y detección de al menos 90 % en LSB secuencial al 10 %.</t>
        </is>
      </c>
      <c r="F19" s="15" t="inlineStr">
        <is>
          <t>Alta</t>
        </is>
      </c>
    </row>
    <row r="20" ht="34" customHeight="1">
      <c r="A20" s="10" t="inlineStr">
        <is>
          <t>RS-19</t>
        </is>
      </c>
      <c r="B20" s="13" t="inlineStr">
        <is>
          <t>Contenido multimedia</t>
        </is>
      </c>
      <c r="C20" s="9" t="inlineStr">
        <is>
          <t>Un archivo sospechoso nunca se publica</t>
        </is>
      </c>
      <c r="D20" s="13" t="inlineStr">
        <is>
          <t>Un archivo sospechoso no llega a la sala. La sanitización destruye datos ocultos aunque no se detecten.</t>
        </is>
      </c>
      <c r="E20" s="13" t="inlineStr">
        <is>
          <t>Después de sanitizar, el plano LSB cambia. Un archivo en cuarentena no se puede descargar.</t>
        </is>
      </c>
      <c r="F20" s="10" t="inlineStr">
        <is>
          <t>Alta</t>
        </is>
      </c>
    </row>
    <row r="21" ht="34" customHeight="1">
      <c r="A21" s="15" t="inlineStr">
        <is>
          <t>RS-20</t>
        </is>
      </c>
      <c r="B21" s="16" t="inlineStr">
        <is>
          <t>Contenido multimedia</t>
        </is>
      </c>
      <c r="C21" s="11" t="inlineStr">
        <is>
          <t>Alertas ante hallazgos</t>
        </is>
      </c>
      <c r="D21" s="16" t="inlineStr">
        <is>
          <t>La esteganografía, el malware o la manipulación generan eventos de advertencia o críticos y un aviso en el panel.</t>
        </is>
      </c>
      <c r="E21" s="16" t="inlineStr">
        <is>
          <t>El evento aparece en la auditoría y en el panel en un máximo de 10 segundos.</t>
        </is>
      </c>
      <c r="F21" s="15" t="inlineStr">
        <is>
          <t>Alta</t>
        </is>
      </c>
    </row>
    <row r="22" ht="20" customHeight="1">
      <c r="A22" s="10" t="inlineStr">
        <is>
          <t>RS-21</t>
        </is>
      </c>
      <c r="B22" s="13" t="inlineStr">
        <is>
          <t>Contenido multimedia</t>
        </is>
      </c>
      <c r="C22" s="9" t="inlineStr">
        <is>
          <t>Antimalware que falla cerrado</t>
        </is>
      </c>
      <c r="D22" s="13" t="inlineStr">
        <is>
          <t>Si el antivirus no responde, no se acepta ningún archivo.</t>
        </is>
      </c>
      <c r="E22" s="13" t="inlineStr">
        <is>
          <t>Con el antivirus caído la subida responde 503.</t>
        </is>
      </c>
      <c r="F22" s="10" t="inlineStr">
        <is>
          <t>Alta</t>
        </is>
      </c>
    </row>
    <row r="23" ht="34" customHeight="1">
      <c r="A23" s="15" t="inlineStr">
        <is>
          <t>RS-22</t>
        </is>
      </c>
      <c r="B23" s="16" t="inlineStr">
        <is>
          <t>Auditoría</t>
        </is>
      </c>
      <c r="C23" s="11" t="inlineStr">
        <is>
          <t>Registro con integridad verificable</t>
        </is>
      </c>
      <c r="D23" s="16" t="inlineStr">
        <is>
          <t>Los eventos forman una cadena SHA-256 y el rol de la aplicación solo puede insertar y leer.</t>
        </is>
      </c>
      <c r="E23" s="16" t="inlineStr">
        <is>
          <t>Una alteración hecha directamente en la base de datos es detectada por la verificación de la cadena.</t>
        </is>
      </c>
      <c r="F23" s="15" t="inlineStr">
        <is>
          <t>Alta</t>
        </is>
      </c>
    </row>
    <row r="24" ht="34" customHeight="1">
      <c r="A24" s="10" t="inlineStr">
        <is>
          <t>RS-23</t>
        </is>
      </c>
      <c r="B24" s="13" t="inlineStr">
        <is>
          <t>Auditoría</t>
        </is>
      </c>
      <c r="C24" s="9" t="inlineStr">
        <is>
          <t>Sin datos sensibles en los registros</t>
        </is>
      </c>
      <c r="D24" s="13" t="inlineStr">
        <is>
          <t>Los registros no contienen contraseñas, claves, tokens ni cuerpos de mensajes.</t>
        </is>
      </c>
      <c r="E24" s="13" t="inlineStr">
        <is>
          <t>La revisión de los eventos emitidos no encuentra esos datos.</t>
        </is>
      </c>
      <c r="F24" s="10" t="inlineStr">
        <is>
          <t>Alta</t>
        </is>
      </c>
    </row>
    <row r="25" ht="34" customHeight="1">
      <c r="A25" s="15" t="inlineStr">
        <is>
          <t>RS-24</t>
        </is>
      </c>
      <c r="B25" s="16" t="inlineStr">
        <is>
          <t>Auditoría</t>
        </is>
      </c>
      <c r="C25" s="11" t="inlineStr">
        <is>
          <t>Falla cerrada de la auditoría</t>
        </is>
      </c>
      <c r="D25" s="16" t="inlineStr">
        <is>
          <t>Si la auditoría no responde, las operaciones que otorgan acceso se revierten.</t>
        </is>
      </c>
      <c r="E25" s="16" t="inlineStr">
        <is>
          <t>Con la auditoría caída, el inicio de sesión y el ingreso a una sala responden 503 y no se completan.</t>
        </is>
      </c>
      <c r="F25" s="15" t="inlineStr">
        <is>
          <t>Media</t>
        </is>
      </c>
    </row>
    <row r="26" ht="34" customHeight="1">
      <c r="A26" s="10" t="inlineStr">
        <is>
          <t>RS-25</t>
        </is>
      </c>
      <c r="B26" s="13" t="inlineStr">
        <is>
          <t>Zero Trust y mínimo privilegio</t>
        </is>
      </c>
      <c r="C26" s="9" t="inlineStr">
        <is>
          <t>Nada es confiable por defecto</t>
        </is>
      </c>
      <c r="D26" s="13" t="inlineStr">
        <is>
          <t>Cada petición se autentica en el borde y entre servicios, con un token propio y una lista de llamadores permitidos.</t>
        </is>
      </c>
      <c r="E26" s="13" t="inlineStr">
        <is>
          <t>Las cabeceras de identidad falsas y los tokens ajenos se ignoran o se rechazan.</t>
        </is>
      </c>
      <c r="F26" s="10" t="inlineStr">
        <is>
          <t>Alta</t>
        </is>
      </c>
    </row>
    <row r="27" ht="34" customHeight="1">
      <c r="A27" s="15" t="inlineStr">
        <is>
          <t>RS-26</t>
        </is>
      </c>
      <c r="B27" s="16" t="inlineStr">
        <is>
          <t>Zero Trust y mínimo privilegio</t>
        </is>
      </c>
      <c r="C27" s="11" t="inlineStr">
        <is>
          <t>Mínimo privilegio</t>
        </is>
      </c>
      <c r="D27" s="16" t="inlineStr">
        <is>
          <t>Una base de datos y un rol por servicio sin permisos de esquema, contenedores sin capacidades y redes internas segmentadas.</t>
        </is>
      </c>
      <c r="E27" s="16" t="inlineStr">
        <is>
          <t>El rol de la aplicación no puede crear tablas ni conectarse a la base de otro servicio.</t>
        </is>
      </c>
      <c r="F27" s="15" t="inlineStr">
        <is>
          <t>Alta</t>
        </is>
      </c>
    </row>
    <row r="28" ht="34" customHeight="1">
      <c r="A28" s="10" t="inlineStr">
        <is>
          <t>RS-27</t>
        </is>
      </c>
      <c r="B28" s="13" t="inlineStr">
        <is>
          <t>Zero Trust y mínimo privilegio</t>
        </is>
      </c>
      <c r="C28" s="9" t="inlineStr">
        <is>
          <t>Validación de toda entrada</t>
        </is>
      </c>
      <c r="D28" s="13" t="inlineStr">
        <is>
          <t>Toda entrada se valida por esquema, longitud y normalización, y las consultas a la base de datos son parametrizadas.</t>
        </is>
      </c>
      <c r="E28" s="13" t="inlineStr">
        <is>
          <t>Una entrada fuera de formato devuelve un error de validación sin repetir el dato recibido.</t>
        </is>
      </c>
      <c r="F28" s="10" t="inlineStr">
        <is>
          <t>Alta</t>
        </is>
      </c>
    </row>
    <row r="29" ht="34" customHeight="1">
      <c r="A29" s="15" t="inlineStr">
        <is>
          <t>RS-28</t>
        </is>
      </c>
      <c r="B29" s="16" t="inlineStr">
        <is>
          <t>Zero Trust y mínimo privilegio</t>
        </is>
      </c>
      <c r="C29" s="11" t="inlineStr">
        <is>
          <t>Resistencia al abuso</t>
        </is>
      </c>
      <c r="D29" s="16" t="inlineStr">
        <is>
          <t>Límite de tasa en el borde y por conexión, y tope de tamaño de trama y de conexiones.</t>
        </is>
      </c>
      <c r="E29" s="16" t="inlineStr">
        <is>
          <t>Las ráfagas, las tramas gigantes y la falta de saludo cierran la conexión con su código.</t>
        </is>
      </c>
      <c r="F29" s="15" t="inlineStr">
        <is>
          <t>Media</t>
        </is>
      </c>
    </row>
    <row r="30" ht="34" customHeight="1">
      <c r="A30" s="10" t="inlineStr">
        <is>
          <t>RS-29</t>
        </is>
      </c>
      <c r="B30" s="13" t="inlineStr">
        <is>
          <t>Zero Trust y mínimo privilegio</t>
        </is>
      </c>
      <c r="C30" s="9" t="inlineStr">
        <is>
          <t>Errores genéricos y fallo cerrado</t>
        </is>
      </c>
      <c r="D30" s="13" t="inlineStr">
        <is>
          <t>El cliente recibe mensajes genéricos y el detalle va solo a la auditoría. Ante la duda el sistema niega.</t>
        </is>
      </c>
      <c r="E30" s="13" t="inlineStr">
        <is>
          <t>Ningún error expone trazas ni datos internos.</t>
        </is>
      </c>
      <c r="F30" s="10" t="inlineStr">
        <is>
          <t>Media</t>
        </is>
      </c>
    </row>
    <row r="31" ht="34" customHeight="1">
      <c r="A31" s="15" t="inlineStr">
        <is>
          <t>RS-30</t>
        </is>
      </c>
      <c r="B31" s="16" t="inlineStr">
        <is>
          <t>Normas y enfoques</t>
        </is>
      </c>
      <c r="C31" s="11" t="inlineStr">
        <is>
          <t>Secure by Design</t>
        </is>
      </c>
      <c r="D31" s="16" t="inlineStr">
        <is>
          <t>Los controles de seguridad forman parte de la arquitectura desde la primera revisión.</t>
        </is>
      </c>
      <c r="E31" s="16" t="inlineStr">
        <is>
          <t>El documento de cumplimiento relaciona cada principio con una decisión de diseño.</t>
        </is>
      </c>
      <c r="F31" s="15" t="inlineStr">
        <is>
          <t>Media</t>
        </is>
      </c>
    </row>
    <row r="32" ht="34" customHeight="1">
      <c r="A32" s="10" t="inlineStr">
        <is>
          <t>RS-31</t>
        </is>
      </c>
      <c r="B32" s="13" t="inlineStr">
        <is>
          <t>Normas y enfoques</t>
        </is>
      </c>
      <c r="C32" s="9" t="inlineStr">
        <is>
          <t>Zero Trust</t>
        </is>
      </c>
      <c r="D32" s="13" t="inlineStr">
        <is>
          <t>Ninguna petición, dispositivo, sesión o servicio es confiable por defecto.</t>
        </is>
      </c>
      <c r="E32" s="13" t="inlineStr">
        <is>
          <t>El documento de cumplimiento relaciona cada principio con su mecanismo y su evidencia.</t>
        </is>
      </c>
      <c r="F32" s="10" t="inlineStr">
        <is>
          <t>Media</t>
        </is>
      </c>
    </row>
    <row r="33" ht="34" customHeight="1">
      <c r="A33" s="15" t="inlineStr">
        <is>
          <t>RS-32</t>
        </is>
      </c>
      <c r="B33" s="16" t="inlineStr">
        <is>
          <t>Normas y enfoques</t>
        </is>
      </c>
      <c r="C33" s="11" t="inlineStr">
        <is>
          <t>Shift Left Security</t>
        </is>
      </c>
      <c r="D33" s="16" t="inlineStr">
        <is>
          <t>Modelo de amenazas, revisión de código, pruebas y detección de vulnerabilidades desde las primeras tareas.</t>
        </is>
      </c>
      <c r="E33" s="16" t="inlineStr">
        <is>
          <t>La integración continua ejecuta análisis estático, auditoría de dependencias y detección de secretos en cada cambio.</t>
        </is>
      </c>
      <c r="F33" s="15" t="inlineStr">
        <is>
          <t>Alta</t>
        </is>
      </c>
    </row>
    <row r="34" ht="34" customHeight="1">
      <c r="A34" s="10" t="inlineStr">
        <is>
          <t>RS-33</t>
        </is>
      </c>
      <c r="B34" s="13" t="inlineStr">
        <is>
          <t>Normas y enfoques</t>
        </is>
      </c>
      <c r="C34" s="9" t="inlineStr">
        <is>
          <t>ISO/IEC 27001</t>
        </is>
      </c>
      <c r="D34" s="13" t="inlineStr">
        <is>
          <t>Los controles del Anexo A se relacionan con los riesgos y con los mecanismos implementados.</t>
        </is>
      </c>
      <c r="E34" s="13" t="inlineStr">
        <is>
          <t>Cada riesgo (R1 a R16) tiene al menos un control del Anexo A asociado.</t>
        </is>
      </c>
      <c r="F34" s="10" t="inlineStr">
        <is>
          <t>Alta</t>
        </is>
      </c>
    </row>
    <row r="35" ht="34" customHeight="1">
      <c r="A35" s="15" t="inlineStr">
        <is>
          <t>RS-34</t>
        </is>
      </c>
      <c r="B35" s="16" t="inlineStr">
        <is>
          <t>Normas y enfoques</t>
        </is>
      </c>
      <c r="C35" s="11" t="inlineStr">
        <is>
          <t>ISO/IEC 27034</t>
        </is>
      </c>
      <c r="D35" s="16" t="inlineStr">
        <is>
          <t>Existe un marco normativo de la aplicación y cada control de seguridad tiene su medida de verificación.</t>
        </is>
      </c>
      <c r="E35" s="16" t="inlineStr">
        <is>
          <t>Cada control de seguridad de la aplicación tiene una prueba o evidencia asociada.</t>
        </is>
      </c>
      <c r="F35" s="15" t="inlineStr">
        <is>
          <t>Media</t>
        </is>
      </c>
    </row>
  </sheetData>
  <autoFilter ref="A1:F35"/>
  <conditionalFormatting sqref="F2:F35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"Baja"</formula>
    </cfRule>
  </conditionalFormatting>
  <dataValidations count="1">
    <dataValidation sqref="F2:F35" showDropDown="0" showInputMessage="0" showErrorMessage="0" allowBlank="0" type="list">
      <formula1>"Alta,Media,Baja"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36" customWidth="1" min="3" max="3"/>
    <col width="62" customWidth="1" min="4" max="4"/>
    <col width="58" customWidth="1" min="5" max="5"/>
    <col width="11" customWidth="1" min="6" max="6"/>
  </cols>
  <sheetData>
    <row r="1" ht="24" customHeight="1">
      <c r="A1" s="8" t="inlineStr">
        <is>
          <t>Código</t>
        </is>
      </c>
      <c r="B1" s="8" t="inlineStr">
        <is>
          <t>Categoría</t>
        </is>
      </c>
      <c r="C1" s="8" t="inlineStr">
        <is>
          <t>Requisito</t>
        </is>
      </c>
      <c r="D1" s="8" t="inlineStr">
        <is>
          <t>Descripción</t>
        </is>
      </c>
      <c r="E1" s="8" t="inlineStr">
        <is>
          <t>Criterio de aceptación</t>
        </is>
      </c>
      <c r="F1" s="8" t="inlineStr">
        <is>
          <t>Prioridad</t>
        </is>
      </c>
    </row>
    <row r="2" ht="34" customHeight="1">
      <c r="A2" s="10" t="inlineStr">
        <is>
          <t>RP-01</t>
        </is>
      </c>
      <c r="B2" s="13" t="inlineStr">
        <is>
          <t>Análisis</t>
        </is>
      </c>
      <c r="C2" s="9" t="inlineStr">
        <is>
          <t>Análisis de activos, amenazas, vulnerabilidades y riesgos</t>
        </is>
      </c>
      <c r="D2" s="13" t="inlineStr">
        <is>
          <t>Identificación de activos, amenazas y vulnerabilidades, con su valoración y su tratamiento.</t>
        </is>
      </c>
      <c r="E2" s="13" t="inlineStr">
        <is>
          <t>Las Tablas 1 a 4 de la Tarea 2 están completas e incluyen el riesgo R16 propuesto.</t>
        </is>
      </c>
      <c r="F2" s="10" t="inlineStr">
        <is>
          <t>Alta</t>
        </is>
      </c>
    </row>
    <row r="3" ht="34" customHeight="1">
      <c r="A3" s="15" t="inlineStr">
        <is>
          <t>RP-02</t>
        </is>
      </c>
      <c r="B3" s="16" t="inlineStr">
        <is>
          <t>Análisis</t>
        </is>
      </c>
      <c r="C3" s="11" t="inlineStr">
        <is>
          <t>Requisitos funcionales y de seguridad</t>
        </is>
      </c>
      <c r="D3" s="16" t="inlineStr">
        <is>
          <t>Lista de requisitos con identificador, descripción y criterio de aceptación.</t>
        </is>
      </c>
      <c r="E3" s="16" t="inlineStr">
        <is>
          <t>Este documento.</t>
        </is>
      </c>
      <c r="F3" s="15" t="inlineStr">
        <is>
          <t>Alta</t>
        </is>
      </c>
    </row>
    <row r="4" ht="34" customHeight="1">
      <c r="A4" s="10" t="inlineStr">
        <is>
          <t>RP-03</t>
        </is>
      </c>
      <c r="B4" s="13" t="inlineStr">
        <is>
          <t>Diseño</t>
        </is>
      </c>
      <c r="C4" s="9" t="inlineStr">
        <is>
          <t>Arquitectura de la solución</t>
        </is>
      </c>
      <c r="D4" s="13" t="inlineStr">
        <is>
          <t>Diseño de la arquitectura de microservicios, del modelo de confianza y del protocolo criptográfico.</t>
        </is>
      </c>
      <c r="E4" s="13" t="inlineStr">
        <is>
          <t>La especificación de diseño está aprobada por el equipo.</t>
        </is>
      </c>
      <c r="F4" s="10" t="inlineStr">
        <is>
          <t>Alta</t>
        </is>
      </c>
    </row>
    <row r="5" ht="34" customHeight="1">
      <c r="A5" s="15" t="inlineStr">
        <is>
          <t>RP-04</t>
        </is>
      </c>
      <c r="B5" s="16" t="inlineStr">
        <is>
          <t>Implementación</t>
        </is>
      </c>
      <c r="C5" s="11" t="inlineStr">
        <is>
          <t>Aplicación funcional</t>
        </is>
      </c>
      <c r="D5" s="16" t="inlineStr">
        <is>
          <t>Aplicación de salas de chat seguras con panel de administración.</t>
        </is>
      </c>
      <c r="E5" s="16" t="inlineStr">
        <is>
          <t>La aplicación corre con un solo comando en local y en un servidor con certificado válido.</t>
        </is>
      </c>
      <c r="F5" s="15" t="inlineStr">
        <is>
          <t>Alta</t>
        </is>
      </c>
    </row>
    <row r="6" ht="34" customHeight="1">
      <c r="A6" s="10" t="inlineStr">
        <is>
          <t>RP-05</t>
        </is>
      </c>
      <c r="B6" s="13" t="inlineStr">
        <is>
          <t>Pruebas</t>
        </is>
      </c>
      <c r="C6" s="9" t="inlineStr">
        <is>
          <t>Pruebas de eficacia de los controles</t>
        </is>
      </c>
      <c r="D6" s="13" t="inlineStr">
        <is>
          <t>Pruebas automatizadas por riesgo, pruebas de punta a punta y calibración del estegoanálisis.</t>
        </is>
      </c>
      <c r="E6" s="13" t="inlineStr">
        <is>
          <t>El informe de pruebas muestra los resultados por servicio y por requisito.</t>
        </is>
      </c>
      <c r="F6" s="10" t="inlineStr">
        <is>
          <t>Alta</t>
        </is>
      </c>
    </row>
    <row r="7" ht="34" customHeight="1">
      <c r="A7" s="15" t="inlineStr">
        <is>
          <t>RP-06</t>
        </is>
      </c>
      <c r="B7" s="16" t="inlineStr">
        <is>
          <t>Documentación</t>
        </is>
      </c>
      <c r="C7" s="11" t="inlineStr">
        <is>
          <t>Justificación criptográfica</t>
        </is>
      </c>
      <c r="D7" s="16" t="inlineStr">
        <is>
          <t>Justificación de los algoritmos, los protocolos y la gestión de claves.</t>
        </is>
      </c>
      <c r="E7" s="16" t="inlineStr">
        <is>
          <t>El documento está entregado y cubre algoritmos, protocolo y ciclo de vida de las claves.</t>
        </is>
      </c>
      <c r="F7" s="15" t="inlineStr">
        <is>
          <t>Alta</t>
        </is>
      </c>
    </row>
    <row r="8" ht="34" customHeight="1">
      <c r="A8" s="10" t="inlineStr">
        <is>
          <t>RP-07</t>
        </is>
      </c>
      <c r="B8" s="13" t="inlineStr">
        <is>
          <t>Documentación</t>
        </is>
      </c>
      <c r="C8" s="9" t="inlineStr">
        <is>
          <t>Relación de los controles ISO con riesgos y mecanismos</t>
        </is>
      </c>
      <c r="D8" s="13" t="inlineStr">
        <is>
          <t>Matriz de los controles de ISO/IEC 27001 y 27034 con los riesgos y los mecanismos implementados.</t>
        </is>
      </c>
      <c r="E8" s="13" t="inlineStr">
        <is>
          <t>El documento de cumplimiento y la trazabilidad de riesgos están completos.</t>
        </is>
      </c>
      <c r="F8" s="10" t="inlineStr">
        <is>
          <t>Alta</t>
        </is>
      </c>
    </row>
    <row r="9" ht="34" customHeight="1">
      <c r="A9" s="15" t="inlineStr">
        <is>
          <t>RP-08</t>
        </is>
      </c>
      <c r="B9" s="16" t="inlineStr">
        <is>
          <t>Documentación</t>
        </is>
      </c>
      <c r="C9" s="11" t="inlineStr">
        <is>
          <t>Evidencia de Zero Trust, Secure by Design y Shift Left</t>
        </is>
      </c>
      <c r="D9" s="16" t="inlineStr">
        <is>
          <t>Documentación técnica que explica cómo se aplica cada enfoque.</t>
        </is>
      </c>
      <c r="E9" s="16" t="inlineStr">
        <is>
          <t>El documento de cumplimiento incluye la evidencia por cada principio.</t>
        </is>
      </c>
      <c r="F9" s="15" t="inlineStr">
        <is>
          <t>Alta</t>
        </is>
      </c>
    </row>
    <row r="10" ht="48" customHeight="1">
      <c r="A10" s="10" t="inlineStr">
        <is>
          <t>RP-09</t>
        </is>
      </c>
      <c r="B10" s="13" t="inlineStr">
        <is>
          <t>Pruebas</t>
        </is>
      </c>
      <c r="C10" s="9" t="inlineStr">
        <is>
          <t>Demostración funcional</t>
        </is>
      </c>
      <c r="D10" s="13" t="inlineStr">
        <is>
          <t>Demostración de las comunicaciones protegidas, el control de acceso, la gestión de sesiones y la detección de multimedia manipulada.</t>
        </is>
      </c>
      <c r="E10" s="13" t="inlineStr">
        <is>
          <t>El guion se ejecuta de punta a punta con la aplicación en funcionamiento.</t>
        </is>
      </c>
      <c r="F10" s="10" t="inlineStr">
        <is>
          <t>Media</t>
        </is>
      </c>
    </row>
  </sheetData>
  <autoFilter ref="A1:F10"/>
  <conditionalFormatting sqref="F2:F10">
    <cfRule type="cellIs" priority="1" operator="equal" dxfId="0">
      <formula>"Alta"</formula>
    </cfRule>
    <cfRule type="cellIs" priority="2" operator="equal" dxfId="1">
      <formula>"Media"</formula>
    </cfRule>
    <cfRule type="cellIs" priority="3" operator="equal" dxfId="2">
      <formula>"Baja"</formula>
    </cfRule>
  </conditionalFormatting>
  <dataValidations count="1">
    <dataValidation sqref="F2:F10" showDropDown="0" showInputMessage="0" showErrorMessage="0" allowBlank="0" type="list">
      <formula1>"Alta,Media,Baja"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2026-10-13T22:29:06Z</dcterms:created>
  <dcterms:modified xmlns:dcterms="http://purl.org/dc/terms/" xmlns:xsi="http://www.w3.org/2001/XMLSchema-instance" xsi:type="dcterms:W3CDTF">2026-10-13T22:29:06Z</dcterms:modified>
</cp:coreProperties>
</file>